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432D0FFE-64C8-4EB0-8D96-2254630C3157}" xr6:coauthVersionLast="47" xr6:coauthVersionMax="47" xr10:uidLastSave="{00000000-0000-0000-0000-000000000000}"/>
  <bookViews>
    <workbookView xWindow="3120" yWindow="3120" windowWidth="18030" windowHeight="11055" xr2:uid="{00000000-000D-0000-FFFF-FFFF00000000}"/>
  </bookViews>
  <sheets>
    <sheet name="상품별합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4" i="1"/>
  <c r="H2" i="1"/>
  <c r="F6" i="1"/>
  <c r="F4" i="1"/>
  <c r="F2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<sst xmlns="http://schemas.openxmlformats.org/spreadsheetml/2006/main" count="21" uniqueCount="21">
  <si>
    <t>상품코드</t>
  </si>
  <si>
    <t>상품명</t>
  </si>
  <si>
    <t>주문합계</t>
  </si>
  <si>
    <t>BUAPML3KG</t>
  </si>
  <si>
    <t>부사사과 3KG 중대과 가정용 (11-12과 내외)</t>
  </si>
  <si>
    <t>BUAPSS3KG</t>
  </si>
  <si>
    <t>부사사과 3KG 소과 가정용 (19-25과)</t>
  </si>
  <si>
    <t>BUAPSS25KG</t>
  </si>
  <si>
    <t>부사사과 2.5KG 소과 가정용 (16-22과)</t>
  </si>
  <si>
    <t>BUAPML2KG</t>
  </si>
  <si>
    <t>부사사과 2KG 중대과 가정용 (7-8과 내외)</t>
  </si>
  <si>
    <t>BUAPL3KG</t>
  </si>
  <si>
    <t>부사사과 3KG 대과 가정용 (6-10과 내외)</t>
  </si>
  <si>
    <r>
      <rPr>
        <sz val="11"/>
        <color rgb="FF171717"/>
        <rFont val="맑은 고딕"/>
        <family val="3"/>
        <charset val="129"/>
      </rPr>
      <t>부사</t>
    </r>
    <r>
      <rPr>
        <sz val="11"/>
        <color rgb="FF171717"/>
        <rFont val="Arial"/>
        <family val="2"/>
      </rPr>
      <t xml:space="preserve"> </t>
    </r>
    <r>
      <rPr>
        <sz val="11"/>
        <color rgb="FF171717"/>
        <rFont val="맑은 고딕"/>
        <family val="3"/>
        <charset val="129"/>
      </rPr>
      <t>가정용</t>
    </r>
    <r>
      <rPr>
        <sz val="11"/>
        <color rgb="FF171717"/>
        <rFont val="Arial"/>
        <family val="2"/>
      </rPr>
      <t xml:space="preserve"> </t>
    </r>
    <r>
      <rPr>
        <sz val="11"/>
        <color rgb="FF171717"/>
        <rFont val="맑은 고딕"/>
        <family val="3"/>
        <charset val="129"/>
      </rPr>
      <t>꼬마</t>
    </r>
    <r>
      <rPr>
        <sz val="11"/>
        <color rgb="FF171717"/>
        <rFont val="Arial"/>
        <family val="2"/>
      </rPr>
      <t>(9-100</t>
    </r>
    <r>
      <rPr>
        <sz val="11"/>
        <color rgb="FF171717"/>
        <rFont val="맑은 고딕"/>
        <family val="3"/>
        <charset val="129"/>
      </rPr>
      <t>다이</t>
    </r>
    <r>
      <rPr>
        <sz val="11"/>
        <color rgb="FF171717"/>
        <rFont val="Arial"/>
        <family val="2"/>
      </rPr>
      <t>)</t>
    </r>
    <phoneticPr fontId="1" type="noConversion"/>
  </si>
  <si>
    <t>부사 가정용 중대 (5다이)</t>
    <phoneticPr fontId="1" type="noConversion"/>
  </si>
  <si>
    <t>부사 가정용 대 (3-4다이)</t>
    <phoneticPr fontId="1" type="noConversion"/>
  </si>
  <si>
    <t>재료명(원물,반재료)</t>
    <phoneticPr fontId="1" type="noConversion"/>
  </si>
  <si>
    <t>원재료</t>
    <phoneticPr fontId="1" type="noConversion"/>
  </si>
  <si>
    <t>해당 원재료 합계</t>
    <phoneticPr fontId="1" type="noConversion"/>
  </si>
  <si>
    <t>원재료 재고(원물,반재료)</t>
    <phoneticPr fontId="1" type="noConversion"/>
  </si>
  <si>
    <t>재고 합산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</si>
</sst>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71717"/>
      <name val="Arial"/>
      <family val="2"/>
    </font>
    <font>
      <sz val="11"/>
      <color rgb="FF171717"/>
      <name val="맑은 고딕"/>
      <family val="3"/>
      <charset val="129"/>
    </font>
    <font>
      <sz val="11"/>
      <color rgb="FF171717"/>
      <name val="Arial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21" sqref="D21"/>
    </sheetView>
  </sheetViews>
  <sheetFormatPr defaultRowHeight="17.25" x14ac:dyDescent="0.3"/>
  <cols>
    <col min="1" max="1" width="24.33203125" customWidth="1"/>
    <col min="2" max="2" width="11.44140625" customWidth="1"/>
    <col min="3" max="3" width="46" style="2" customWidth="1"/>
    <col min="6" max="6" width="17.33203125" customWidth="1"/>
    <col min="7" max="7" width="22.21875" customWidth="1"/>
    <col min="8" max="8" width="20.77734375" customWidth="1"/>
  </cols>
  <sheetData>
    <row r="1" spans="1:8" x14ac:dyDescent="0.3">
      <c r="A1" s="3" t="s">
        <v>16</v>
      </c>
      <c r="B1" s="3" t="s">
        <v>0</v>
      </c>
      <c r="C1" s="4" t="s">
        <v>1</v>
      </c>
      <c r="D1" s="3" t="s">
        <v>2</v>
      </c>
      <c r="E1" s="3" t="s">
        <v>17</v>
      </c>
      <c r="F1" s="3" t="s">
        <v>18</v>
      </c>
      <c r="G1" s="3" t="s">
        <v>19</v>
      </c>
      <c r="H1" s="3" t="s">
        <v>20</v>
      </c>
    </row>
    <row r="2" spans="1:8" x14ac:dyDescent="0.3">
      <c r="A2" s="5" t="s">
        <v>13</v>
      </c>
      <c r="B2" s="3" t="s">
        <v>5</v>
      </c>
      <c r="C2" s="4" t="s">
        <v>6</v>
      </c>
      <c r="D2" s="3">
        <v>14</v>
      </c>
      <c r="E2" s="3">
        <f>D2*3</f>
        <v>42</v>
      </c>
      <c r="F2" s="6">
        <f>E2+E3</f>
        <v>77</v>
      </c>
      <c r="G2" s="6">
        <v>1000</v>
      </c>
      <c r="H2" s="7">
        <f>G2-F2</f>
        <v>923</v>
      </c>
    </row>
    <row r="3" spans="1:8" x14ac:dyDescent="0.3">
      <c r="A3" s="8"/>
      <c r="B3" s="3" t="s">
        <v>7</v>
      </c>
      <c r="C3" s="4" t="s">
        <v>8</v>
      </c>
      <c r="D3" s="3">
        <v>14</v>
      </c>
      <c r="E3" s="3">
        <f>D3*2.5</f>
        <v>35</v>
      </c>
      <c r="F3" s="6"/>
      <c r="G3" s="6"/>
      <c r="H3" s="7"/>
    </row>
    <row r="4" spans="1:8" x14ac:dyDescent="0.3">
      <c r="A4" s="6" t="s">
        <v>14</v>
      </c>
      <c r="B4" s="3" t="s">
        <v>9</v>
      </c>
      <c r="C4" s="4" t="s">
        <v>10</v>
      </c>
      <c r="D4" s="3">
        <v>14</v>
      </c>
      <c r="E4" s="3">
        <f>D4*2</f>
        <v>28</v>
      </c>
      <c r="F4" s="6">
        <f>E4+E5</f>
        <v>76</v>
      </c>
      <c r="G4" s="6">
        <v>1000</v>
      </c>
      <c r="H4" s="7">
        <f>G4-F4</f>
        <v>924</v>
      </c>
    </row>
    <row r="5" spans="1:8" x14ac:dyDescent="0.3">
      <c r="A5" s="6"/>
      <c r="B5" s="3" t="s">
        <v>3</v>
      </c>
      <c r="C5" s="4" t="s">
        <v>4</v>
      </c>
      <c r="D5" s="3">
        <v>16</v>
      </c>
      <c r="E5" s="3">
        <f>16*3</f>
        <v>48</v>
      </c>
      <c r="F5" s="6"/>
      <c r="G5" s="6"/>
      <c r="H5" s="7"/>
    </row>
    <row r="6" spans="1:8" x14ac:dyDescent="0.3">
      <c r="A6" s="3" t="s">
        <v>15</v>
      </c>
      <c r="B6" s="3" t="s">
        <v>11</v>
      </c>
      <c r="C6" s="4" t="s">
        <v>12</v>
      </c>
      <c r="D6" s="3">
        <v>15</v>
      </c>
      <c r="E6" s="3">
        <f>D6*3</f>
        <v>45</v>
      </c>
      <c r="F6" s="3">
        <f>E6</f>
        <v>45</v>
      </c>
      <c r="G6" s="3">
        <v>25</v>
      </c>
      <c r="H6" s="9">
        <f>G6-F6</f>
        <v>-20</v>
      </c>
    </row>
    <row r="11" spans="1:8" x14ac:dyDescent="0.3">
      <c r="G11" s="1"/>
    </row>
  </sheetData>
  <mergeCells count="8">
    <mergeCell ref="A2:A3"/>
    <mergeCell ref="A4:A5"/>
    <mergeCell ref="F2:F3"/>
    <mergeCell ref="F4:F5"/>
    <mergeCell ref="H2:H3"/>
    <mergeCell ref="G2:G3"/>
    <mergeCell ref="G4:G5"/>
    <mergeCell ref="H4:H5"/>
  </mergeCells>
  <phoneticPr fontId="1" type="noConversion"/>
  <pageMargins left="0.7" right="0.7" top="0.75" bottom="0.75" header="0.3" footer="0.3"/>
  <ignoredErrors>
    <ignoredError sqref="B6:D6 B1:D1 B4:D4 B2:D2 B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상품별합계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yul gong</cp:lastModifiedBy>
  <dcterms:created xsi:type="dcterms:W3CDTF">2026-02-04T04:51:56Z</dcterms:created>
  <dcterms:modified xsi:type="dcterms:W3CDTF">2026-02-04T04:51:56Z</dcterms:modified>
</cp:coreProperties>
</file>